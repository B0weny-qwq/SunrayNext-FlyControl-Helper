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<sst xmlns="http://schemas.openxmlformats.org/spreadsheetml/2006/main" count="189" uniqueCount="101">
  <si>
    <t/>
  </si>
  <si>
    <t xml:space="preserve">Bill of Materials </t>
  </si>
  <si>
    <t>BOM_Fly_Control_Helper v1.1</t>
  </si>
  <si>
    <t>Project Title：</t>
  </si>
  <si>
    <t>飞控助手1.0</t>
  </si>
  <si>
    <t>Variant:</t>
  </si>
  <si>
    <t xml:space="preserve"> </t>
  </si>
  <si>
    <t>Report Time：</t>
  </si>
  <si>
    <t>2026年4月6日 2:28:46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</si>
  <si>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</si>
  <si>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</si>
  <si>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</si>
  <si>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</si>
  <si>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</si>
  <si>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</si>
  <si>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</si>
  <si>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</si>
  <si>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</si>
  <si>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</si>
  <si>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</si>
  <si>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</si>
  <si>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100nF</t>
  </si>
  <si>
    <t>C28, C29, C30, C32, C33, C34, C35</t>
  </si>
  <si>
    <t>C0603</t>
  </si>
  <si>
    <t>CGA0603X7R104K500JT</t>
  </si>
  <si>
    <t>HRE(芯声)</t>
  </si>
  <si>
    <t>C6119867</t>
  </si>
  <si>
    <t>LCSC</t>
  </si>
  <si>
    <t>22uF</t>
  </si>
  <si>
    <t>C31</t>
  </si>
  <si>
    <t>C0805</t>
  </si>
  <si>
    <t>CL21A226MAQNNNE</t>
  </si>
  <si>
    <t>SAMSUNG(三星)</t>
  </si>
  <si>
    <t>C45783</t>
  </si>
  <si>
    <t>JEB05C</t>
  </si>
  <si>
    <t>D9, D10, D12, D13</t>
  </si>
  <si>
    <t>SOD-323_L1.7-W1.3-LS2.5-BI</t>
  </si>
  <si>
    <t>Leiditech(雷卯电子)</t>
  </si>
  <si>
    <t>C5180086</t>
  </si>
  <si>
    <t>SLESD5.0C</t>
  </si>
  <si>
    <t>D14, D15, D21, D22, D23</t>
  </si>
  <si>
    <t>DFN1006-2L-BI</t>
  </si>
  <si>
    <t>Slkor(萨科微)</t>
  </si>
  <si>
    <t>C513487</t>
  </si>
  <si>
    <t>SMF5.0CA</t>
  </si>
  <si>
    <t>D19, D20</t>
  </si>
  <si>
    <t>SOD-123FL_L2.7-W1.8-LS3.8-BI</t>
  </si>
  <si>
    <t>R+O(宏嘉诚)</t>
  </si>
  <si>
    <t>C19077498</t>
  </si>
  <si>
    <t>5.1kΩ</t>
  </si>
  <si>
    <t>R17, R18, R21, R22</t>
  </si>
  <si>
    <t>R0402</t>
  </si>
  <si>
    <t>0603WAF5101T5E</t>
  </si>
  <si>
    <t>UNI-ROYAL(厚声)</t>
  </si>
  <si>
    <t>C23186</t>
  </si>
  <si>
    <t>22Ω</t>
  </si>
  <si>
    <t>R27, R28, R29, R30, R31, R32, R33, R34, R35, R36, R37, R38, R39, R40</t>
  </si>
  <si>
    <t>FRC0402F22R0TS</t>
  </si>
  <si>
    <t>FOJAN(富捷)</t>
  </si>
  <si>
    <t>C2929994</t>
  </si>
  <si>
    <t>TS3425BA</t>
  </si>
  <si>
    <t>SW1</t>
  </si>
  <si>
    <t>SW-SMD_4P-L4.2-W3.2-P2.15-LS4.6-1</t>
  </si>
  <si>
    <t>SHOU HAN(首韩)</t>
  </si>
  <si>
    <t>C2681476</t>
  </si>
  <si>
    <t>WT01P4C5-S1</t>
  </si>
  <si>
    <t>U1</t>
  </si>
  <si>
    <t>ZX-SH1.0-6PWT</t>
  </si>
  <si>
    <t>U2, U3, U5</t>
  </si>
  <si>
    <t>CONN-SMD_6P-P1.00_MEGASTAR_ZX-SH1.0-6PWT</t>
  </si>
  <si>
    <t>Megastar(兆星)</t>
  </si>
  <si>
    <t>C7430448</t>
  </si>
  <si>
    <t>ZX-SH1.0-4PWT</t>
  </si>
  <si>
    <t>U4, U6</t>
  </si>
  <si>
    <t>CONN-SMD_4P-P1.00_MEGASTAR_ZX-SH1.0-4PWT</t>
  </si>
  <si>
    <t>C7430446</t>
  </si>
  <si>
    <t>FDCW2012-2-900TF</t>
  </si>
  <si>
    <t>U10, U11</t>
  </si>
  <si>
    <t>IND-SMD_4P-L2.0-W1.2</t>
  </si>
  <si>
    <t>cjiang(长江微电)</t>
  </si>
  <si>
    <t>C3029254</t>
  </si>
  <si>
    <t>TYPE-C 16PIN 2MD(073)</t>
  </si>
  <si>
    <t>USB3, USB5</t>
  </si>
  <si>
    <t>USB-C-SMD_TYPE-C-6PIN-2MD-073</t>
  </si>
  <si>
    <t>C2765186</t>
  </si>
  <si>
    <t>Project Title</t>
  </si>
  <si>
    <t>Borard Title</t>
  </si>
  <si>
    <t>Fly_Control_Helper v1.1</t>
  </si>
  <si>
    <t>Schematic Title</t>
  </si>
  <si>
    <t>PCB Title</t>
  </si>
  <si>
    <t>PCB</t>
  </si>
  <si>
    <t>Variant Name</t>
  </si>
  <si>
    <t>Total Quantity</t>
  </si>
  <si>
    <t>Report Time</t>
  </si>
  <si>
    <t>2:28:46</t>
  </si>
  <si>
    <t>Report Date</t>
  </si>
  <si>
    <t>2026年4月6日</t>
  </si>
  <si>
    <t>Report Date&amp;Time</t>
  </si>
  <si>
    <t>File Name</t>
  </si>
  <si>
    <t>Filter Option</t>
  </si>
  <si>
    <t>&lt;Parameter filter option not found&gt;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</si>
</sst>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 showGridLines="0" zoomScale="115" zoomScaleNormal="115">
      <selection activeCell="E17" sqref="E17"/>
    </sheetView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2" x14ac:dyDescent="0.25">
      <c r="A7" s="8">
        <f>ROW()-6</f>
      </c>
      <c r="B7" s="9">
        <v>7</v>
      </c>
      <c r="C7" s="9" t="s">
        <v>21</v>
      </c>
      <c r="D7" s="9" t="s">
        <v>22</v>
      </c>
      <c r="E7" s="9" t="s">
        <v>23</v>
      </c>
      <c r="F7" s="9" t="s">
        <v>21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0</v>
      </c>
      <c r="L7" s="10">
        <f>B7*K7</f>
      </c>
    </row>
    <row r="8" spans="1:12" x14ac:dyDescent="0.25">
      <c r="A8" s="8">
        <f>ROW()-6</f>
      </c>
      <c r="B8" s="9">
        <v>1</v>
      </c>
      <c r="C8" s="9" t="s">
        <v>28</v>
      </c>
      <c r="D8" s="9" t="s">
        <v>29</v>
      </c>
      <c r="E8" s="9" t="s">
        <v>30</v>
      </c>
      <c r="F8" s="9" t="s">
        <v>28</v>
      </c>
      <c r="G8" s="9" t="s">
        <v>31</v>
      </c>
      <c r="H8" s="9" t="s">
        <v>32</v>
      </c>
      <c r="I8" s="9" t="s">
        <v>33</v>
      </c>
      <c r="J8" s="9" t="s">
        <v>27</v>
      </c>
      <c r="K8" s="9" t="s">
        <v>0</v>
      </c>
      <c r="L8" s="10">
        <f>B8*K8</f>
      </c>
    </row>
    <row r="9" spans="1:12" x14ac:dyDescent="0.25">
      <c r="A9" s="8">
        <f>ROW()-6</f>
      </c>
      <c r="B9" s="9">
        <v>4</v>
      </c>
      <c r="C9" s="9" t="s">
        <v>34</v>
      </c>
      <c r="D9" s="9" t="s">
        <v>35</v>
      </c>
      <c r="E9" s="9" t="s">
        <v>36</v>
      </c>
      <c r="F9" s="9" t="s">
        <v>0</v>
      </c>
      <c r="G9" s="9" t="s">
        <v>34</v>
      </c>
      <c r="H9" s="9" t="s">
        <v>37</v>
      </c>
      <c r="I9" s="9" t="s">
        <v>38</v>
      </c>
      <c r="J9" s="9" t="s">
        <v>27</v>
      </c>
      <c r="K9" s="9" t="s">
        <v>0</v>
      </c>
      <c r="L9" s="10">
        <f>B9*K9</f>
      </c>
    </row>
    <row r="10" spans="1:12" x14ac:dyDescent="0.25">
      <c r="A10" s="8">
        <f>ROW()-6</f>
      </c>
      <c r="B10" s="9">
        <v>5</v>
      </c>
      <c r="C10" s="9" t="s">
        <v>39</v>
      </c>
      <c r="D10" s="9" t="s">
        <v>40</v>
      </c>
      <c r="E10" s="9" t="s">
        <v>41</v>
      </c>
      <c r="F10" s="9" t="s">
        <v>0</v>
      </c>
      <c r="G10" s="9" t="s">
        <v>39</v>
      </c>
      <c r="H10" s="9" t="s">
        <v>42</v>
      </c>
      <c r="I10" s="9" t="s">
        <v>43</v>
      </c>
      <c r="J10" s="9" t="s">
        <v>27</v>
      </c>
      <c r="K10" s="9" t="s">
        <v>0</v>
      </c>
      <c r="L10" s="10">
        <f>B10*K10</f>
      </c>
    </row>
    <row r="11" spans="1:12" x14ac:dyDescent="0.25">
      <c r="A11" s="8">
        <f>ROW()-6</f>
      </c>
      <c r="B11" s="9">
        <v>2</v>
      </c>
      <c r="C11" s="9" t="s">
        <v>44</v>
      </c>
      <c r="D11" s="9" t="s">
        <v>45</v>
      </c>
      <c r="E11" s="9" t="s">
        <v>46</v>
      </c>
      <c r="F11" s="9" t="s">
        <v>0</v>
      </c>
      <c r="G11" s="9" t="s">
        <v>44</v>
      </c>
      <c r="H11" s="9" t="s">
        <v>47</v>
      </c>
      <c r="I11" s="9" t="s">
        <v>48</v>
      </c>
      <c r="J11" s="9" t="s">
        <v>27</v>
      </c>
      <c r="K11" s="9" t="s">
        <v>0</v>
      </c>
      <c r="L11" s="10">
        <f>B11*K11</f>
      </c>
    </row>
    <row r="12" spans="1:12" x14ac:dyDescent="0.25">
      <c r="A12" s="8">
        <f>ROW()-6</f>
      </c>
      <c r="B12" s="9">
        <v>4</v>
      </c>
      <c r="C12" s="9" t="s">
        <v>49</v>
      </c>
      <c r="D12" s="9" t="s">
        <v>50</v>
      </c>
      <c r="E12" s="9" t="s">
        <v>51</v>
      </c>
      <c r="F12" s="9" t="s">
        <v>49</v>
      </c>
      <c r="G12" s="9" t="s">
        <v>52</v>
      </c>
      <c r="H12" s="9" t="s">
        <v>53</v>
      </c>
      <c r="I12" s="9" t="s">
        <v>54</v>
      </c>
      <c r="J12" s="9" t="s">
        <v>27</v>
      </c>
      <c r="K12" s="9" t="s">
        <v>0</v>
      </c>
      <c r="L12" s="10">
        <f>B12*K12</f>
      </c>
    </row>
    <row r="13" spans="1:12" x14ac:dyDescent="0.25">
      <c r="A13" s="8">
        <f>ROW()-6</f>
      </c>
      <c r="B13" s="9">
        <v>14</v>
      </c>
      <c r="C13" s="9" t="s">
        <v>55</v>
      </c>
      <c r="D13" s="9" t="s">
        <v>56</v>
      </c>
      <c r="E13" s="9" t="s">
        <v>51</v>
      </c>
      <c r="F13" s="9" t="s">
        <v>55</v>
      </c>
      <c r="G13" s="9" t="s">
        <v>57</v>
      </c>
      <c r="H13" s="9" t="s">
        <v>58</v>
      </c>
      <c r="I13" s="9" t="s">
        <v>59</v>
      </c>
      <c r="J13" s="9" t="s">
        <v>27</v>
      </c>
      <c r="K13" s="9" t="s">
        <v>0</v>
      </c>
      <c r="L13" s="10">
        <f>B13*K13</f>
      </c>
    </row>
    <row r="14" spans="1:12" x14ac:dyDescent="0.25">
      <c r="A14" s="8">
        <f>ROW()-6</f>
      </c>
      <c r="B14" s="9">
        <v>1</v>
      </c>
      <c r="C14" s="9" t="s">
        <v>60</v>
      </c>
      <c r="D14" s="9" t="s">
        <v>61</v>
      </c>
      <c r="E14" s="9" t="s">
        <v>62</v>
      </c>
      <c r="F14" s="9" t="s">
        <v>0</v>
      </c>
      <c r="G14" s="9" t="s">
        <v>60</v>
      </c>
      <c r="H14" s="9" t="s">
        <v>63</v>
      </c>
      <c r="I14" s="9" t="s">
        <v>64</v>
      </c>
      <c r="J14" s="9" t="s">
        <v>27</v>
      </c>
      <c r="K14" s="9" t="s">
        <v>0</v>
      </c>
      <c r="L14" s="10">
        <f>B14*K14</f>
      </c>
    </row>
    <row r="15" spans="1:12" x14ac:dyDescent="0.25">
      <c r="A15" s="8">
        <f>ROW()-6</f>
      </c>
      <c r="B15" s="9">
        <v>1</v>
      </c>
      <c r="C15" s="9" t="s">
        <v>65</v>
      </c>
      <c r="D15" s="9" t="s">
        <v>66</v>
      </c>
      <c r="E15" s="9" t="s">
        <v>65</v>
      </c>
      <c r="F15" s="9" t="s">
        <v>0</v>
      </c>
      <c r="G15" s="9" t="s">
        <v>0</v>
      </c>
      <c r="H15" s="9" t="s">
        <v>0</v>
      </c>
      <c r="I15" s="9" t="s">
        <v>0</v>
      </c>
      <c r="J15" s="9" t="s">
        <v>0</v>
      </c>
      <c r="K15" s="9" t="s">
        <v>0</v>
      </c>
      <c r="L15" s="10">
        <f>B15*K15</f>
      </c>
    </row>
    <row r="16" spans="1:12" x14ac:dyDescent="0.25">
      <c r="A16" s="8">
        <f>ROW()-6</f>
      </c>
      <c r="B16" s="9">
        <v>3</v>
      </c>
      <c r="C16" s="9" t="s">
        <v>67</v>
      </c>
      <c r="D16" s="9" t="s">
        <v>68</v>
      </c>
      <c r="E16" s="9" t="s">
        <v>69</v>
      </c>
      <c r="F16" s="9" t="s">
        <v>0</v>
      </c>
      <c r="G16" s="9" t="s">
        <v>67</v>
      </c>
      <c r="H16" s="9" t="s">
        <v>70</v>
      </c>
      <c r="I16" s="9" t="s">
        <v>71</v>
      </c>
      <c r="J16" s="9" t="s">
        <v>27</v>
      </c>
      <c r="K16" s="9" t="s">
        <v>0</v>
      </c>
      <c r="L16" s="10">
        <f>B16*K16</f>
      </c>
    </row>
    <row r="17" spans="1:12" x14ac:dyDescent="0.25">
      <c r="A17" s="8">
        <f>ROW()-6</f>
      </c>
      <c r="B17" s="9">
        <v>2</v>
      </c>
      <c r="C17" s="9" t="s">
        <v>72</v>
      </c>
      <c r="D17" s="9" t="s">
        <v>73</v>
      </c>
      <c r="E17" s="9" t="s">
        <v>74</v>
      </c>
      <c r="F17" s="9" t="s">
        <v>0</v>
      </c>
      <c r="G17" s="9" t="s">
        <v>72</v>
      </c>
      <c r="H17" s="9" t="s">
        <v>70</v>
      </c>
      <c r="I17" s="9" t="s">
        <v>75</v>
      </c>
      <c r="J17" s="9" t="s">
        <v>27</v>
      </c>
      <c r="K17" s="9" t="s">
        <v>0</v>
      </c>
      <c r="L17" s="10">
        <f>B17*K17</f>
      </c>
    </row>
    <row r="18" spans="1:12" x14ac:dyDescent="0.25">
      <c r="A18" s="8">
        <f>ROW()-6</f>
      </c>
      <c r="B18" s="9">
        <v>2</v>
      </c>
      <c r="C18" s="9" t="s">
        <v>76</v>
      </c>
      <c r="D18" s="9" t="s">
        <v>77</v>
      </c>
      <c r="E18" s="9" t="s">
        <v>78</v>
      </c>
      <c r="F18" s="9" t="s">
        <v>0</v>
      </c>
      <c r="G18" s="9" t="s">
        <v>76</v>
      </c>
      <c r="H18" s="9" t="s">
        <v>79</v>
      </c>
      <c r="I18" s="9" t="s">
        <v>80</v>
      </c>
      <c r="J18" s="9" t="s">
        <v>27</v>
      </c>
      <c r="K18" s="9" t="s">
        <v>0</v>
      </c>
      <c r="L18" s="10">
        <f>B18*K18</f>
      </c>
    </row>
    <row r="19" spans="1:12" x14ac:dyDescent="0.25">
      <c r="A19" s="8">
        <f>ROW()-6</f>
      </c>
      <c r="B19" s="9">
        <v>2</v>
      </c>
      <c r="C19" s="9" t="s">
        <v>81</v>
      </c>
      <c r="D19" s="9" t="s">
        <v>82</v>
      </c>
      <c r="E19" s="9" t="s">
        <v>83</v>
      </c>
      <c r="F19" s="9" t="s">
        <v>0</v>
      </c>
      <c r="G19" s="9" t="s">
        <v>81</v>
      </c>
      <c r="H19" s="9" t="s">
        <v>63</v>
      </c>
      <c r="I19" s="9" t="s">
        <v>84</v>
      </c>
      <c r="J19" s="9" t="s">
        <v>27</v>
      </c>
      <c r="K19" s="9" t="s">
        <v>0</v>
      </c>
      <c r="L19" s="10">
        <f>B19*K19</f>
      </c>
    </row>
    <row r="20" spans="1:12" x14ac:dyDescent="0.25">
      <c r="A20" s="8">
        <f>ROW()-6</f>
      </c>
      <c r="B20" s="11">
        <f>SUM(L7:L19)</f>
      </c>
      <c r="C20" s="11"/>
      <c r="D20" s="11"/>
      <c r="E20" s="11"/>
      <c r="F20" s="11"/>
      <c r="G20" s="11"/>
      <c r="H20" s="11"/>
      <c r="I20" s="11"/>
      <c r="J20" s="11"/>
      <c r="K20" s="11"/>
      <c r="L20" s="11"/>
    </row>
  </sheetData>
  <mergeCells count="4">
    <mergeCell ref="A1:D5"/>
    <mergeCell ref="E1:E2"/>
    <mergeCell ref="F1:F2"/>
    <mergeCell ref="B20:L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220" zoomScaleNormal="220">
      <selection activeCell="B14" sqref="B14"/>
    </sheetView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85</v>
      </c>
      <c r="B1" s="6" t="s">
        <v>4</v>
      </c>
    </row>
    <row r="2" spans="1:2" x14ac:dyDescent="0.25">
      <c r="A2" s="6" t="s">
        <v>86</v>
      </c>
      <c r="B2" s="6" t="s">
        <v>87</v>
      </c>
    </row>
    <row r="3" spans="1:2" x14ac:dyDescent="0.25">
      <c r="A3" s="6" t="s">
        <v>88</v>
      </c>
      <c r="B3" s="6" t="s">
        <v>6</v>
      </c>
    </row>
    <row r="4" spans="1:2" x14ac:dyDescent="0.25">
      <c r="A4" s="6" t="s">
        <v>89</v>
      </c>
      <c r="B4" s="6" t="s">
        <v>90</v>
      </c>
    </row>
    <row r="5" spans="1:2" x14ac:dyDescent="0.25">
      <c r="A5" s="6" t="s">
        <v>91</v>
      </c>
      <c r="B5" s="6" t="s">
        <v>6</v>
      </c>
    </row>
    <row r="6" spans="1:2" x14ac:dyDescent="0.25">
      <c r="A6" s="6" t="s">
        <v>92</v>
      </c>
      <c r="B6" s="6">
        <v>48</v>
      </c>
    </row>
    <row r="7" spans="1:2" x14ac:dyDescent="0.25">
      <c r="A7" s="6" t="s">
        <v>93</v>
      </c>
      <c r="B7" s="6" t="s">
        <v>94</v>
      </c>
    </row>
    <row r="8" spans="1:2" x14ac:dyDescent="0.25">
      <c r="A8" s="6" t="s">
        <v>95</v>
      </c>
      <c r="B8" s="6" t="s">
        <v>96</v>
      </c>
    </row>
    <row r="9" spans="1:2" x14ac:dyDescent="0.25">
      <c r="A9" s="6" t="s">
        <v>97</v>
      </c>
      <c r="B9" s="6" t="s">
        <v>8</v>
      </c>
    </row>
    <row r="10" spans="1:2" x14ac:dyDescent="0.25">
      <c r="A10" s="6" t="s">
        <v>98</v>
      </c>
      <c r="B10" s="6" t="s">
        <v>2</v>
      </c>
    </row>
    <row r="11" spans="1:2" x14ac:dyDescent="0.25">
      <c r="A11" s="6" t="s">
        <v>99</v>
      </c>
      <c r="B11" s="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2026-04-05T18:28:46Z</dcterms:modified>
</cp:coreProperties>
</file>